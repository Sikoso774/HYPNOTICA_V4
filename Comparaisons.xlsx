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olen\Documents\Informatique_Etude\Python\Mes Projets\Pygame\Hypnotica_V2\Suivi_projet\"/>
    </mc:Choice>
  </mc:AlternateContent>
  <xr:revisionPtr revIDLastSave="0" documentId="13_ncr:1_{D937474E-253B-4AD5-A689-C6E64A23C905}" xr6:coauthVersionLast="47" xr6:coauthVersionMax="47" xr10:uidLastSave="{00000000-0000-0000-0000-000000000000}"/>
  <bookViews>
    <workbookView xWindow="-120" yWindow="-120" windowWidth="29040" windowHeight="15720" xr2:uid="{7EDE8F96-269D-438F-9027-304CFCF67EE3}"/>
  </bookViews>
  <sheets>
    <sheet name="Comparaisons" sheetId="1" r:id="rId1"/>
    <sheet name="TCD_Comparaisons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2" i="1"/>
  <c r="F4" i="1"/>
  <c r="F5" i="1"/>
  <c r="F6" i="1"/>
  <c r="F7" i="1"/>
  <c r="F8" i="1"/>
  <c r="F3" i="1"/>
  <c r="C10" i="1"/>
  <c r="E10" i="1" s="1"/>
  <c r="F10" i="1" s="1"/>
  <c r="C9" i="1"/>
  <c r="E9" i="1" s="1"/>
  <c r="C12" i="1" l="1"/>
  <c r="E11" i="1"/>
  <c r="C11" i="1"/>
  <c r="E12" i="1"/>
  <c r="F9" i="1"/>
  <c r="F11" i="1" s="1"/>
  <c r="F12" i="1" l="1"/>
</calcChain>
</file>

<file path=xl/sharedStrings.xml><?xml version="1.0" encoding="utf-8"?>
<sst xmlns="http://schemas.openxmlformats.org/spreadsheetml/2006/main" count="44" uniqueCount="24">
  <si>
    <t>V1</t>
  </si>
  <si>
    <t>V2</t>
  </si>
  <si>
    <t>V3</t>
  </si>
  <si>
    <t>V4</t>
  </si>
  <si>
    <t>V5</t>
  </si>
  <si>
    <t>V6</t>
  </si>
  <si>
    <t>V7</t>
  </si>
  <si>
    <t>V8</t>
  </si>
  <si>
    <t>V9</t>
  </si>
  <si>
    <t>Versions de HYPNOTICA</t>
  </si>
  <si>
    <t>Python</t>
  </si>
  <si>
    <t>NB_Scripts</t>
  </si>
  <si>
    <t xml:space="preserve">Langage Infomatique Utilisé </t>
  </si>
  <si>
    <r>
      <t xml:space="preserve">Variable de </t>
    </r>
    <r>
      <rPr>
        <sz val="12"/>
        <color rgb="FFC00000"/>
        <rFont val="Calibri"/>
        <family val="2"/>
        <scheme val="minor"/>
      </rPr>
      <t xml:space="preserve">NBm </t>
    </r>
    <r>
      <rPr>
        <sz val="12"/>
        <rFont val="Calibri"/>
        <family val="2"/>
        <scheme val="minor"/>
      </rPr>
      <t xml:space="preserve">en % avec la </t>
    </r>
    <r>
      <rPr>
        <b/>
        <sz val="12"/>
        <rFont val="Calibri"/>
        <family val="2"/>
        <scheme val="minor"/>
      </rPr>
      <t>V1</t>
    </r>
  </si>
  <si>
    <t>Total</t>
  </si>
  <si>
    <r>
      <t>NB_lignes de code/script (</t>
    </r>
    <r>
      <rPr>
        <sz val="12"/>
        <color rgb="FFC00000"/>
        <rFont val="Calibri"/>
        <family val="2"/>
        <scheme val="minor"/>
      </rPr>
      <t>Nbm</t>
    </r>
    <r>
      <rPr>
        <sz val="12"/>
        <rFont val="Calibri"/>
        <family val="2"/>
        <scheme val="minor"/>
      </rPr>
      <t>)</t>
    </r>
  </si>
  <si>
    <t>NB_lignes de code</t>
  </si>
  <si>
    <t>Étiquettes de lignes</t>
  </si>
  <si>
    <t>Total général</t>
  </si>
  <si>
    <t>Somme de NB_Scripts</t>
  </si>
  <si>
    <t>Somme de NB_lignes de code/script (Nbm)</t>
  </si>
  <si>
    <t>Somme de Variable de NBm en % avec la V1</t>
  </si>
  <si>
    <t>Moyenne de NB_lignes de code</t>
  </si>
  <si>
    <t>NB 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</si>
</sst>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0" fillId="0" borderId="1" xfId="0" applyBorder="1"/>
    <xf numFmtId="0" fontId="0" fillId="0" borderId="0" xfId="0" applyFill="1" applyBorder="1"/>
    <xf numFmtId="0" fontId="0" fillId="0" borderId="0" xfId="0" applyFill="1" applyBorder="1" applyAlignment="1">
      <alignment wrapText="1"/>
    </xf>
    <xf numFmtId="9" fontId="0" fillId="0" borderId="1" xfId="1" applyFont="1" applyBorder="1"/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/>
    <xf numFmtId="9" fontId="4" fillId="3" borderId="1" xfId="0" applyNumberFormat="1" applyFont="1" applyFill="1" applyBorder="1"/>
  </cellXfs>
  <cellStyles count="2">
    <cellStyle name="Normal" xfId="0" builtinId="0"/>
    <cellStyle name="Pourcentage" xfId="1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400"/>
              <a:t>Optimisation du code</a:t>
            </a:r>
            <a:endParaRPr lang="fr-FR" sz="2400" baseline="0"/>
          </a:p>
        </c:rich>
      </c:tx>
      <c:layout>
        <c:manualLayout>
          <c:xMode val="edge"/>
          <c:yMode val="edge"/>
          <c:x val="0.19269204152249134"/>
          <c:y val="1.8433179723502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2196093891511177E-2"/>
          <c:y val="0.24933971258077051"/>
          <c:w val="0.81661357382230337"/>
          <c:h val="0.56051416959976774"/>
        </c:manualLayout>
      </c:layout>
      <c:barChart>
        <c:barDir val="col"/>
        <c:grouping val="clustered"/>
        <c:varyColors val="0"/>
        <c:ser>
          <c:idx val="0"/>
          <c:order val="0"/>
          <c:tx>
            <c:v>Nombre de lignes de code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Comparaisons!$A$2:$A$10</c:f>
              <c:strCache>
                <c:ptCount val="9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  <c:pt idx="5">
                  <c:v>V6</c:v>
                </c:pt>
                <c:pt idx="6">
                  <c:v>V7</c:v>
                </c:pt>
                <c:pt idx="7">
                  <c:v>V8</c:v>
                </c:pt>
                <c:pt idx="8">
                  <c:v>V9</c:v>
                </c:pt>
              </c:strCache>
            </c:strRef>
          </c:cat>
          <c:val>
            <c:numRef>
              <c:f>Comparaisons!$E$2:$E$10</c:f>
              <c:numCache>
                <c:formatCode>General</c:formatCode>
                <c:ptCount val="9"/>
                <c:pt idx="0">
                  <c:v>155</c:v>
                </c:pt>
                <c:pt idx="1">
                  <c:v>189</c:v>
                </c:pt>
                <c:pt idx="2">
                  <c:v>245</c:v>
                </c:pt>
                <c:pt idx="3">
                  <c:v>304</c:v>
                </c:pt>
                <c:pt idx="4">
                  <c:v>428</c:v>
                </c:pt>
                <c:pt idx="5">
                  <c:v>503</c:v>
                </c:pt>
                <c:pt idx="6">
                  <c:v>617</c:v>
                </c:pt>
                <c:pt idx="7">
                  <c:v>93.8</c:v>
                </c:pt>
                <c:pt idx="8">
                  <c:v>85.4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F-4166-9621-6D812D248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862256"/>
        <c:axId val="1375834320"/>
      </c:barChart>
      <c:lineChart>
        <c:grouping val="standard"/>
        <c:varyColors val="0"/>
        <c:ser>
          <c:idx val="1"/>
          <c:order val="1"/>
          <c:tx>
            <c:v>Nbm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Comparaisons!$A$2:$A$10</c:f>
              <c:strCache>
                <c:ptCount val="9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  <c:pt idx="5">
                  <c:v>V6</c:v>
                </c:pt>
                <c:pt idx="6">
                  <c:v>V7</c:v>
                </c:pt>
                <c:pt idx="7">
                  <c:v>V8</c:v>
                </c:pt>
                <c:pt idx="8">
                  <c:v>V9</c:v>
                </c:pt>
              </c:strCache>
            </c:strRef>
          </c:cat>
          <c:val>
            <c:numRef>
              <c:f>Comparaisons!$F$2:$F$10</c:f>
              <c:numCache>
                <c:formatCode>0%</c:formatCode>
                <c:ptCount val="9"/>
                <c:pt idx="0">
                  <c:v>0</c:v>
                </c:pt>
                <c:pt idx="1">
                  <c:v>0.21935483870967731</c:v>
                </c:pt>
                <c:pt idx="2">
                  <c:v>0.58064516129032251</c:v>
                </c:pt>
                <c:pt idx="3">
                  <c:v>0.96129032258064506</c:v>
                </c:pt>
                <c:pt idx="4">
                  <c:v>1.7612903225806451</c:v>
                </c:pt>
                <c:pt idx="5">
                  <c:v>2.2451612903225806</c:v>
                </c:pt>
                <c:pt idx="6">
                  <c:v>2.9806451612903224</c:v>
                </c:pt>
                <c:pt idx="7">
                  <c:v>-0.39483870967741941</c:v>
                </c:pt>
                <c:pt idx="8">
                  <c:v>-0.44903225806451608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DF-4166-9621-6D812D248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860256"/>
        <c:axId val="1375837648"/>
      </c:lineChart>
      <c:catAx>
        <c:axId val="75286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5834320"/>
        <c:crosses val="autoZero"/>
        <c:auto val="1"/>
        <c:lblAlgn val="ctr"/>
        <c:lblOffset val="100"/>
        <c:noMultiLvlLbl val="0"/>
      </c:catAx>
      <c:valAx>
        <c:axId val="137583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2862256"/>
        <c:crosses val="autoZero"/>
        <c:crossBetween val="between"/>
      </c:valAx>
      <c:valAx>
        <c:axId val="1375837648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2860256"/>
        <c:crosses val="max"/>
        <c:crossBetween val="between"/>
      </c:valAx>
      <c:catAx>
        <c:axId val="7528602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75837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0</xdr:row>
      <xdr:rowOff>0</xdr:rowOff>
    </xdr:from>
    <xdr:to>
      <xdr:col>11</xdr:col>
      <xdr:colOff>358775</xdr:colOff>
      <xdr:row>11</xdr:row>
      <xdr:rowOff>127000</xdr:rowOff>
    </xdr:to>
    <xdr:graphicFrame macro="">
      <xdr:nvGraphicFramePr>
        <xdr:cNvPr id="4" name="Graphique 1">
          <a:extLst>
            <a:ext uri="{FF2B5EF4-FFF2-40B4-BE49-F238E27FC236}">
              <a16:creationId xmlns:a16="http://schemas.microsoft.com/office/drawing/2014/main" id="{4E3A3351-B3E3-4593-830B-6B478B111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éni Kokolo Zassi" refreshedDate="45792.706120486109" createdVersion="6" refreshedVersion="6" minRefreshableVersion="3" recordCount="9" xr:uid="{29F9CDAD-ECA3-4C9F-9644-FC1BDF2C6006}">
  <cacheSource type="worksheet">
    <worksheetSource ref="A1:F10" sheet="Comparaisons"/>
  </cacheSource>
  <cacheFields count="6">
    <cacheField name="Versions de HYPNOTICA" numFmtId="0">
      <sharedItems count="9">
        <s v="V1"/>
        <s v="V2"/>
        <s v="V3"/>
        <s v="V4"/>
        <s v="V5"/>
        <s v="V6"/>
        <s v="V7"/>
        <s v="V8"/>
        <s v="V9"/>
      </sharedItems>
    </cacheField>
    <cacheField name="Langage Infomatique Utilisé " numFmtId="0">
      <sharedItems count="1">
        <s v="Python"/>
      </sharedItems>
    </cacheField>
    <cacheField name="NB_lignes de code" numFmtId="0">
      <sharedItems containsSemiMixedTypes="0" containsString="0" containsNumber="1" containsInteger="1" minValue="155" maxValue="769" count="9">
        <n v="155"/>
        <n v="189"/>
        <n v="245"/>
        <n v="304"/>
        <n v="428"/>
        <n v="503"/>
        <n v="617"/>
        <n v="750"/>
        <n v="769"/>
      </sharedItems>
    </cacheField>
    <cacheField name="NB_Scripts" numFmtId="0">
      <sharedItems containsSemiMixedTypes="0" containsString="0" containsNumber="1" containsInteger="1" minValue="1" maxValue="9"/>
    </cacheField>
    <cacheField name="NB_lignes de code/script (Nbm)" numFmtId="0">
      <sharedItems containsSemiMixedTypes="0" containsString="0" containsNumber="1" minValue="85.4" maxValue="617"/>
    </cacheField>
    <cacheField name="Variable de NBm en % avec la V1" numFmtId="9">
      <sharedItems containsSemiMixedTypes="0" containsString="0" containsNumber="1" minValue="-0.44903225806451608" maxValue="2.98064516129032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1"/>
    <n v="155"/>
    <n v="0"/>
  </r>
  <r>
    <x v="1"/>
    <x v="0"/>
    <x v="1"/>
    <n v="1"/>
    <n v="189"/>
    <n v="0.21935483870967731"/>
  </r>
  <r>
    <x v="2"/>
    <x v="0"/>
    <x v="2"/>
    <n v="1"/>
    <n v="245"/>
    <n v="0.58064516129032251"/>
  </r>
  <r>
    <x v="3"/>
    <x v="0"/>
    <x v="3"/>
    <n v="1"/>
    <n v="304"/>
    <n v="0.96129032258064506"/>
  </r>
  <r>
    <x v="4"/>
    <x v="0"/>
    <x v="4"/>
    <n v="1"/>
    <n v="428"/>
    <n v="1.7612903225806451"/>
  </r>
  <r>
    <x v="5"/>
    <x v="0"/>
    <x v="5"/>
    <n v="1"/>
    <n v="503"/>
    <n v="2.2451612903225806"/>
  </r>
  <r>
    <x v="6"/>
    <x v="0"/>
    <x v="6"/>
    <n v="1"/>
    <n v="617"/>
    <n v="2.9806451612903224"/>
  </r>
  <r>
    <x v="7"/>
    <x v="0"/>
    <x v="7"/>
    <n v="8"/>
    <n v="93.8"/>
    <n v="-0.39483870967741941"/>
  </r>
  <r>
    <x v="8"/>
    <x v="0"/>
    <x v="8"/>
    <n v="9"/>
    <n v="85.4"/>
    <n v="-0.449032258064516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47750-B51F-43D5-8F56-A3F03FF5B9A0}" name="Tableau croisé dynamique1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E14" firstHeaderRow="0" firstDataRow="1" firstDataCol="1"/>
  <pivotFields count="6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2">
        <item x="0"/>
        <item t="default"/>
      </items>
    </pivotField>
    <pivotField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dataField="1" showAll="0"/>
    <pivotField dataField="1" numFmtId="9" showAll="0"/>
  </pivotFields>
  <rowFields count="2">
    <field x="1"/>
    <field x="0"/>
  </rowFields>
  <rowItems count="1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NB_Scripts" fld="3" baseField="0" baseItem="0"/>
    <dataField name="Moyenne de NB_lignes de code" fld="2" subtotal="average" baseField="1" baseItem="0"/>
    <dataField name="Somme de Variable de NBm en % avec la V1" fld="5" baseField="0" baseItem="0"/>
    <dataField name="Somme de NB_lignes de code/script (Nbm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5D8F-EE5A-437D-A7D0-0287BC0D382C}">
  <dimension ref="A1:G19"/>
  <sheetViews>
    <sheetView tabSelected="1" workbookViewId="0">
      <selection activeCell="A15" sqref="A15"/>
    </sheetView>
  </sheetViews>
  <sheetFormatPr baseColWidth="10" defaultRowHeight="15.75" x14ac:dyDescent="0.25"/>
  <cols>
    <col min="1" max="1" width="14.125" style="1" customWidth="1"/>
    <col min="2" max="2" width="11.375" customWidth="1"/>
    <col min="3" max="3" width="11.125" customWidth="1"/>
    <col min="4" max="4" width="12.125" customWidth="1"/>
    <col min="5" max="5" width="18" customWidth="1"/>
    <col min="6" max="6" width="20.5" customWidth="1"/>
    <col min="7" max="7" width="14.875" customWidth="1"/>
  </cols>
  <sheetData>
    <row r="1" spans="1:7" s="2" customFormat="1" ht="48" thickBot="1" x14ac:dyDescent="0.3">
      <c r="A1" s="8" t="s">
        <v>9</v>
      </c>
      <c r="B1" s="9" t="s">
        <v>12</v>
      </c>
      <c r="C1" s="8" t="s">
        <v>16</v>
      </c>
      <c r="D1" s="8" t="s">
        <v>11</v>
      </c>
      <c r="E1" s="8" t="s">
        <v>15</v>
      </c>
      <c r="F1" s="8" t="s">
        <v>13</v>
      </c>
      <c r="G1" s="15"/>
    </row>
    <row r="2" spans="1:7" ht="16.5" thickBot="1" x14ac:dyDescent="0.3">
      <c r="A2" s="3" t="s">
        <v>0</v>
      </c>
      <c r="B2" s="4" t="s">
        <v>10</v>
      </c>
      <c r="C2" s="4">
        <v>155</v>
      </c>
      <c r="D2" s="4">
        <v>1</v>
      </c>
      <c r="E2" s="4">
        <v>155</v>
      </c>
      <c r="F2" s="7">
        <v>0</v>
      </c>
      <c r="G2" s="5"/>
    </row>
    <row r="3" spans="1:7" ht="16.5" thickBot="1" x14ac:dyDescent="0.3">
      <c r="A3" s="3" t="s">
        <v>1</v>
      </c>
      <c r="B3" s="4" t="s">
        <v>10</v>
      </c>
      <c r="C3" s="4">
        <v>189</v>
      </c>
      <c r="D3" s="4">
        <v>1</v>
      </c>
      <c r="E3" s="4">
        <v>189</v>
      </c>
      <c r="F3" s="7">
        <f>E3/E$2-1</f>
        <v>0.21935483870967731</v>
      </c>
      <c r="G3" s="5"/>
    </row>
    <row r="4" spans="1:7" ht="16.5" thickBot="1" x14ac:dyDescent="0.3">
      <c r="A4" s="3" t="s">
        <v>2</v>
      </c>
      <c r="B4" s="4" t="s">
        <v>10</v>
      </c>
      <c r="C4" s="4">
        <v>245</v>
      </c>
      <c r="D4" s="4">
        <v>1</v>
      </c>
      <c r="E4" s="4">
        <v>245</v>
      </c>
      <c r="F4" s="7">
        <f t="shared" ref="F4:F10" si="0">E4/E$2-1</f>
        <v>0.58064516129032251</v>
      </c>
      <c r="G4" s="5"/>
    </row>
    <row r="5" spans="1:7" ht="16.5" thickBot="1" x14ac:dyDescent="0.3">
      <c r="A5" s="3" t="s">
        <v>3</v>
      </c>
      <c r="B5" s="4" t="s">
        <v>10</v>
      </c>
      <c r="C5" s="4">
        <v>304</v>
      </c>
      <c r="D5" s="4">
        <v>1</v>
      </c>
      <c r="E5" s="4">
        <v>304</v>
      </c>
      <c r="F5" s="7">
        <f t="shared" si="0"/>
        <v>0.96129032258064506</v>
      </c>
      <c r="G5" s="5"/>
    </row>
    <row r="6" spans="1:7" ht="16.5" thickBot="1" x14ac:dyDescent="0.3">
      <c r="A6" s="3" t="s">
        <v>4</v>
      </c>
      <c r="B6" s="4" t="s">
        <v>10</v>
      </c>
      <c r="C6" s="4">
        <v>428</v>
      </c>
      <c r="D6" s="4">
        <v>1</v>
      </c>
      <c r="E6" s="4">
        <v>428</v>
      </c>
      <c r="F6" s="7">
        <f t="shared" si="0"/>
        <v>1.7612903225806451</v>
      </c>
      <c r="G6" s="5"/>
    </row>
    <row r="7" spans="1:7" ht="16.5" thickBot="1" x14ac:dyDescent="0.3">
      <c r="A7" s="3" t="s">
        <v>5</v>
      </c>
      <c r="B7" s="4" t="s">
        <v>10</v>
      </c>
      <c r="C7" s="4">
        <v>503</v>
      </c>
      <c r="D7" s="4">
        <v>1</v>
      </c>
      <c r="E7" s="4">
        <v>503</v>
      </c>
      <c r="F7" s="7">
        <f t="shared" si="0"/>
        <v>2.2451612903225806</v>
      </c>
      <c r="G7" s="5"/>
    </row>
    <row r="8" spans="1:7" ht="16.5" thickBot="1" x14ac:dyDescent="0.3">
      <c r="A8" s="3" t="s">
        <v>6</v>
      </c>
      <c r="B8" s="4" t="s">
        <v>10</v>
      </c>
      <c r="C8" s="4">
        <v>617</v>
      </c>
      <c r="D8" s="4">
        <v>1</v>
      </c>
      <c r="E8" s="4">
        <v>617</v>
      </c>
      <c r="F8" s="7">
        <f t="shared" si="0"/>
        <v>2.9806451612903224</v>
      </c>
      <c r="G8" s="5"/>
    </row>
    <row r="9" spans="1:7" ht="16.5" thickBot="1" x14ac:dyDescent="0.3">
      <c r="A9" s="3" t="s">
        <v>7</v>
      </c>
      <c r="B9" s="4" t="s">
        <v>10</v>
      </c>
      <c r="C9" s="4">
        <f>78+56+106+93+143+94+108+72</f>
        <v>750</v>
      </c>
      <c r="D9" s="4">
        <v>8</v>
      </c>
      <c r="E9" s="4">
        <f>ROUND(C9/D9,1)</f>
        <v>93.8</v>
      </c>
      <c r="F9" s="7">
        <f t="shared" si="0"/>
        <v>-0.39483870967741941</v>
      </c>
      <c r="G9" s="5"/>
    </row>
    <row r="10" spans="1:7" ht="16.5" thickBot="1" x14ac:dyDescent="0.3">
      <c r="A10" s="3" t="s">
        <v>8</v>
      </c>
      <c r="B10" s="4" t="s">
        <v>10</v>
      </c>
      <c r="C10" s="4">
        <f>55+52+64+89+92+151+79+108+79</f>
        <v>769</v>
      </c>
      <c r="D10" s="4">
        <v>9</v>
      </c>
      <c r="E10" s="4">
        <f>ROUND(C10/D10,1)</f>
        <v>85.4</v>
      </c>
      <c r="F10" s="7">
        <f t="shared" si="0"/>
        <v>-0.44903225806451608</v>
      </c>
      <c r="G10" s="5"/>
    </row>
    <row r="11" spans="1:7" ht="16.5" thickBot="1" x14ac:dyDescent="0.3">
      <c r="A11" s="17" t="s">
        <v>14</v>
      </c>
      <c r="B11" s="18" t="s">
        <v>10</v>
      </c>
      <c r="C11" s="18">
        <f>SUM(C2:C10)</f>
        <v>3960</v>
      </c>
      <c r="D11" s="18">
        <f>SUM(D2:D10)</f>
        <v>24</v>
      </c>
      <c r="E11" s="18">
        <f>SUM(E2:E10)</f>
        <v>2620.2000000000003</v>
      </c>
      <c r="F11" s="19">
        <f>SUM(F2:F10)</f>
        <v>7.9045161290322579</v>
      </c>
      <c r="G11" s="5"/>
    </row>
    <row r="12" spans="1:7" ht="16.5" thickBot="1" x14ac:dyDescent="0.3">
      <c r="A12" s="17" t="s">
        <v>23</v>
      </c>
      <c r="B12" s="18" t="s">
        <v>10</v>
      </c>
      <c r="C12" s="18">
        <f>AVERAGE(C2:C10)</f>
        <v>440</v>
      </c>
      <c r="D12" s="18">
        <f>ROUND(AVERAGE(D2:D10),1)</f>
        <v>2.7</v>
      </c>
      <c r="E12" s="18">
        <f xml:space="preserve"> ROUND(AVERAGE(E2:E10),1)</f>
        <v>291.10000000000002</v>
      </c>
      <c r="F12" s="19">
        <f>AVERAGE(F2:F10)</f>
        <v>0.87827956989247313</v>
      </c>
      <c r="G12" s="5"/>
    </row>
    <row r="13" spans="1:7" x14ac:dyDescent="0.25">
      <c r="A13" s="16"/>
      <c r="B13" s="5"/>
      <c r="C13" s="5"/>
      <c r="D13" s="5"/>
      <c r="E13" s="5"/>
      <c r="F13" s="5"/>
      <c r="G13" s="5"/>
    </row>
    <row r="14" spans="1:7" x14ac:dyDescent="0.25">
      <c r="A14" s="6"/>
      <c r="B14" s="5"/>
      <c r="C14" s="5"/>
      <c r="D14" s="5"/>
      <c r="E14" s="5"/>
      <c r="F14" s="5"/>
      <c r="G14" s="5"/>
    </row>
    <row r="15" spans="1:7" x14ac:dyDescent="0.25">
      <c r="A15" s="6"/>
      <c r="B15" s="6"/>
      <c r="C15" s="5"/>
      <c r="D15" s="5"/>
      <c r="E15" s="5"/>
      <c r="F15" s="5"/>
      <c r="G15" s="5"/>
    </row>
    <row r="16" spans="1:7" x14ac:dyDescent="0.25">
      <c r="A16" s="6"/>
      <c r="B16" s="6"/>
      <c r="C16" s="5"/>
      <c r="D16" s="5"/>
      <c r="E16" s="5"/>
      <c r="F16" s="5"/>
      <c r="G16" s="5"/>
    </row>
    <row r="17" spans="1:1" x14ac:dyDescent="0.25">
      <c r="A17" s="14"/>
    </row>
    <row r="18" spans="1:1" x14ac:dyDescent="0.25">
      <c r="A18"/>
    </row>
    <row r="19" spans="1:1" x14ac:dyDescent="0.25">
      <c r="A19"/>
    </row>
  </sheetData>
  <conditionalFormatting sqref="C2:C10">
    <cfRule type="cellIs" dxfId="5" priority="5" operator="greaterThan">
      <formula>350</formula>
    </cfRule>
  </conditionalFormatting>
  <conditionalFormatting sqref="D2:D10">
    <cfRule type="cellIs" dxfId="4" priority="1" operator="greaterThan">
      <formula>5</formula>
    </cfRule>
    <cfRule type="cellIs" dxfId="3" priority="2" operator="equal">
      <formula>1</formula>
    </cfRule>
  </conditionalFormatting>
  <conditionalFormatting sqref="E2:E10">
    <cfRule type="cellIs" dxfId="2" priority="4" operator="lessThan">
      <formula>100</formula>
    </cfRule>
    <cfRule type="cellIs" dxfId="1" priority="6" operator="greaterThan">
      <formula>350</formula>
    </cfRule>
  </conditionalFormatting>
  <conditionalFormatting sqref="F2:F10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ABF8-D637-433E-995D-15CCC56CA287}">
  <dimension ref="A3:E14"/>
  <sheetViews>
    <sheetView workbookViewId="0">
      <selection activeCell="D19" sqref="D19"/>
    </sheetView>
  </sheetViews>
  <sheetFormatPr baseColWidth="10" defaultRowHeight="15.75" x14ac:dyDescent="0.25"/>
  <cols>
    <col min="1" max="1" width="19.875" bestFit="1" customWidth="1"/>
    <col min="2" max="2" width="19.75" bestFit="1" customWidth="1"/>
    <col min="3" max="3" width="28.125" bestFit="1" customWidth="1"/>
    <col min="4" max="4" width="38.875" bestFit="1" customWidth="1"/>
    <col min="5" max="5" width="38.125" bestFit="1" customWidth="1"/>
    <col min="6" max="10" width="3" bestFit="1" customWidth="1"/>
    <col min="11" max="11" width="38.125" bestFit="1" customWidth="1"/>
    <col min="12" max="17" width="3.875" bestFit="1" customWidth="1"/>
    <col min="18" max="19" width="4.875" bestFit="1" customWidth="1"/>
    <col min="20" max="20" width="38.875" bestFit="1" customWidth="1"/>
    <col min="21" max="24" width="11.875" bestFit="1" customWidth="1"/>
    <col min="25" max="25" width="10.875" bestFit="1" customWidth="1"/>
    <col min="26" max="26" width="11.875" bestFit="1" customWidth="1"/>
    <col min="27" max="27" width="11.5" bestFit="1" customWidth="1"/>
    <col min="28" max="28" width="12.5" bestFit="1" customWidth="1"/>
    <col min="29" max="29" width="26.375" bestFit="1" customWidth="1"/>
    <col min="30" max="37" width="3.875" bestFit="1" customWidth="1"/>
    <col min="38" max="38" width="24.75" bestFit="1" customWidth="1"/>
    <col min="39" max="39" width="43.125" bestFit="1" customWidth="1"/>
    <col min="40" max="40" width="43.875" bestFit="1" customWidth="1"/>
    <col min="41" max="41" width="31.375" bestFit="1" customWidth="1"/>
  </cols>
  <sheetData>
    <row r="3" spans="1:5" x14ac:dyDescent="0.25">
      <c r="A3" s="10" t="s">
        <v>17</v>
      </c>
      <c r="B3" t="s">
        <v>19</v>
      </c>
      <c r="C3" t="s">
        <v>22</v>
      </c>
      <c r="D3" t="s">
        <v>21</v>
      </c>
      <c r="E3" t="s">
        <v>20</v>
      </c>
    </row>
    <row r="4" spans="1:5" x14ac:dyDescent="0.25">
      <c r="A4" s="11" t="s">
        <v>10</v>
      </c>
      <c r="B4" s="13">
        <v>24</v>
      </c>
      <c r="C4" s="13">
        <v>440</v>
      </c>
      <c r="D4" s="13">
        <v>7.9045161290322579</v>
      </c>
      <c r="E4" s="13">
        <v>2620.2000000000003</v>
      </c>
    </row>
    <row r="5" spans="1:5" x14ac:dyDescent="0.25">
      <c r="A5" s="12" t="s">
        <v>0</v>
      </c>
      <c r="B5" s="13">
        <v>1</v>
      </c>
      <c r="C5" s="13">
        <v>155</v>
      </c>
      <c r="D5" s="13">
        <v>0</v>
      </c>
      <c r="E5" s="13">
        <v>155</v>
      </c>
    </row>
    <row r="6" spans="1:5" x14ac:dyDescent="0.25">
      <c r="A6" s="12" t="s">
        <v>1</v>
      </c>
      <c r="B6" s="13">
        <v>1</v>
      </c>
      <c r="C6" s="13">
        <v>189</v>
      </c>
      <c r="D6" s="13">
        <v>0.21935483870967731</v>
      </c>
      <c r="E6" s="13">
        <v>189</v>
      </c>
    </row>
    <row r="7" spans="1:5" x14ac:dyDescent="0.25">
      <c r="A7" s="12" t="s">
        <v>2</v>
      </c>
      <c r="B7" s="13">
        <v>1</v>
      </c>
      <c r="C7" s="13">
        <v>245</v>
      </c>
      <c r="D7" s="13">
        <v>0.58064516129032251</v>
      </c>
      <c r="E7" s="13">
        <v>245</v>
      </c>
    </row>
    <row r="8" spans="1:5" x14ac:dyDescent="0.25">
      <c r="A8" s="12" t="s">
        <v>3</v>
      </c>
      <c r="B8" s="13">
        <v>1</v>
      </c>
      <c r="C8" s="13">
        <v>304</v>
      </c>
      <c r="D8" s="13">
        <v>0.96129032258064506</v>
      </c>
      <c r="E8" s="13">
        <v>304</v>
      </c>
    </row>
    <row r="9" spans="1:5" x14ac:dyDescent="0.25">
      <c r="A9" s="12" t="s">
        <v>4</v>
      </c>
      <c r="B9" s="13">
        <v>1</v>
      </c>
      <c r="C9" s="13">
        <v>428</v>
      </c>
      <c r="D9" s="13">
        <v>1.7612903225806451</v>
      </c>
      <c r="E9" s="13">
        <v>428</v>
      </c>
    </row>
    <row r="10" spans="1:5" x14ac:dyDescent="0.25">
      <c r="A10" s="12" t="s">
        <v>5</v>
      </c>
      <c r="B10" s="13">
        <v>1</v>
      </c>
      <c r="C10" s="13">
        <v>503</v>
      </c>
      <c r="D10" s="13">
        <v>2.2451612903225806</v>
      </c>
      <c r="E10" s="13">
        <v>503</v>
      </c>
    </row>
    <row r="11" spans="1:5" x14ac:dyDescent="0.25">
      <c r="A11" s="12" t="s">
        <v>6</v>
      </c>
      <c r="B11" s="13">
        <v>1</v>
      </c>
      <c r="C11" s="13">
        <v>617</v>
      </c>
      <c r="D11" s="13">
        <v>2.9806451612903224</v>
      </c>
      <c r="E11" s="13">
        <v>617</v>
      </c>
    </row>
    <row r="12" spans="1:5" x14ac:dyDescent="0.25">
      <c r="A12" s="12" t="s">
        <v>7</v>
      </c>
      <c r="B12" s="13">
        <v>8</v>
      </c>
      <c r="C12" s="13">
        <v>750</v>
      </c>
      <c r="D12" s="13">
        <v>-0.39483870967741941</v>
      </c>
      <c r="E12" s="13">
        <v>93.8</v>
      </c>
    </row>
    <row r="13" spans="1:5" x14ac:dyDescent="0.25">
      <c r="A13" s="12" t="s">
        <v>8</v>
      </c>
      <c r="B13" s="13">
        <v>9</v>
      </c>
      <c r="C13" s="13">
        <v>769</v>
      </c>
      <c r="D13" s="13">
        <v>-0.44903225806451608</v>
      </c>
      <c r="E13" s="13">
        <v>85.4</v>
      </c>
    </row>
    <row r="14" spans="1:5" x14ac:dyDescent="0.25">
      <c r="A14" s="11" t="s">
        <v>18</v>
      </c>
      <c r="B14" s="13">
        <v>24</v>
      </c>
      <c r="C14" s="13">
        <v>440</v>
      </c>
      <c r="D14" s="13">
        <v>7.9045161290322579</v>
      </c>
      <c r="E14" s="13">
        <v>2620.2000000000003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Comparaisons</vt:lpstr>
      <vt:lpstr>TCD_Comparaisons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Zoléni Kokolo Zassi</dc:creator>
  <cp:lastModifiedBy>Zoléni Kokolo Zassi</cp:lastModifiedBy>
  <dcterms:created xsi:type="dcterms:W3CDTF">2025-05-15T13:57:23Z</dcterms:created>
  <dcterms:modified xsi:type="dcterms:W3CDTF">2025-05-21T13:45:37Z</dcterms:modified>
</cp:coreProperties>
</file>